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hristopher/Documents/ESCP/M1/Financial_Markets/PROJETS_GITHUB/Option_Pricing_Binomial/"/>
    </mc:Choice>
  </mc:AlternateContent>
  <xr:revisionPtr revIDLastSave="0" documentId="13_ncr:1_{ECFD047B-C516-C240-B3B8-A40DF56FD716}" xr6:coauthVersionLast="47" xr6:coauthVersionMax="47" xr10:uidLastSave="{00000000-0000-0000-0000-000000000000}"/>
  <bookViews>
    <workbookView xWindow="0" yWindow="0" windowWidth="28800" windowHeight="18000" activeTab="2" xr2:uid="{3ECF396D-9D63-C647-9AA4-69C54D12F9CF}"/>
  </bookViews>
  <sheets>
    <sheet name="Input" sheetId="1" r:id="rId1"/>
    <sheet name="Tree" sheetId="7" r:id="rId2"/>
    <sheet name="Output" sheetId="3" r:id="rId3"/>
    <sheet name="Convergence" sheetId="4" state="hidden" r:id="rId4"/>
  </sheets>
  <definedNames>
    <definedName name="d">Input!$L$2</definedName>
    <definedName name="DF">Input!$N$2</definedName>
    <definedName name="dt">Input!$J$2</definedName>
    <definedName name="K">Input!$C$2</definedName>
    <definedName name="N">Input!$G$2</definedName>
    <definedName name="p">Input!$M$2</definedName>
    <definedName name="phi">Input!$H$2</definedName>
    <definedName name="risk_free">Input!$E$2</definedName>
    <definedName name="S">Input!$B$2</definedName>
    <definedName name="sigma">Input!$F$2</definedName>
    <definedName name="T">Input!$D$2</definedName>
    <definedName name="type_option">Input!$I$2</definedName>
    <definedName name="u">Input!$K$2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K2" i="1" s="1"/>
  <c r="L2" i="1" s="1"/>
  <c r="M2" i="1" l="1"/>
  <c r="N2" i="1"/>
</calcChain>
</file>

<file path=xl/sharedStrings.xml><?xml version="1.0" encoding="utf-8"?>
<sst xmlns="http://schemas.openxmlformats.org/spreadsheetml/2006/main" count="16" uniqueCount="16">
  <si>
    <t>Strike Price (k)</t>
  </si>
  <si>
    <t>Underlying asset Price (S)</t>
  </si>
  <si>
    <t>Maturity (T)</t>
  </si>
  <si>
    <t>Risk free rate (r)</t>
  </si>
  <si>
    <t>Volatility (σ)</t>
  </si>
  <si>
    <t># of steps (N)</t>
  </si>
  <si>
    <t>Type of option (1=call, -1=put)</t>
  </si>
  <si>
    <t>Style of option (0=European, 1=American)</t>
  </si>
  <si>
    <t>Name of option</t>
  </si>
  <si>
    <t>Option 1</t>
  </si>
  <si>
    <t>Δt</t>
  </si>
  <si>
    <t>u</t>
  </si>
  <si>
    <t>d</t>
  </si>
  <si>
    <t>p</t>
  </si>
  <si>
    <t>Facteur d'actualisation (DF)</t>
  </si>
  <si>
    <t>Option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</si>
</sst>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Aptos Narrow"/>
      <family val="2"/>
      <scheme val="minor"/>
    </font>
    <font>
      <sz val="12"/>
      <name val="Aptos Narrow"/>
    </font>
    <font>
      <b/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12700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025" name="Launch Pricing" descr="Launch Prici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23B691C-DB1B-E4F6-0867-17A708587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Launch 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0B132-4C85-214A-9C84-C57DCC9B1936}">
  <sheetPr codeName="Sheet1"/>
  <dimension ref="A1:N2"/>
  <sheetViews>
    <sheetView workbookViewId="0">
      <selection activeCell="M6" sqref="M6"/>
    </sheetView>
  </sheetViews>
  <sheetFormatPr baseColWidth="10" defaultRowHeight="16"/>
  <cols>
    <col min="1" max="1" width="13.33203125" bestFit="1" customWidth="1"/>
    <col min="2" max="2" width="21.83203125" bestFit="1" customWidth="1"/>
    <col min="3" max="3" width="12.83203125" bestFit="1" customWidth="1"/>
    <col min="5" max="5" width="14" bestFit="1" customWidth="1"/>
    <col min="7" max="7" width="11.6640625" bestFit="1" customWidth="1"/>
    <col min="8" max="8" width="24.6640625" bestFit="1" customWidth="1"/>
    <col min="9" max="9" width="35" bestFit="1" customWidth="1"/>
    <col min="14" max="14" width="24.1640625" bestFit="1" customWidth="1"/>
    <col min="15" max="15" width="16.1640625" customWidth="1"/>
  </cols>
  <sheetData>
    <row r="1" spans="1:14">
      <c r="A1" t="s">
        <v>8</v>
      </c>
      <c r="B1" t="s">
        <v>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</row>
    <row r="2" spans="1:14">
      <c r="A2" t="s">
        <v>9</v>
      </c>
      <c r="B2">
        <v>100</v>
      </c>
      <c r="C2">
        <v>100</v>
      </c>
      <c r="D2">
        <v>1</v>
      </c>
      <c r="E2">
        <v>0.05</v>
      </c>
      <c r="F2">
        <v>0.2</v>
      </c>
      <c r="G2">
        <v>10</v>
      </c>
      <c r="H2">
        <v>1</v>
      </c>
      <c r="I2">
        <v>0</v>
      </c>
      <c r="J2">
        <f>D2/G2</f>
        <v>0.1</v>
      </c>
      <c r="K2">
        <f>EXP(F2*SQRT(J2))</f>
        <v>1.0652883920946086</v>
      </c>
      <c r="L2">
        <f>1/K2</f>
        <v>0.93871294141651518</v>
      </c>
      <c r="M2">
        <f>(EXP(E2*J2)-L2) / (K2-L2)</f>
        <v>0.52379493091040874</v>
      </c>
      <c r="N2">
        <f>EXP(-E2*J2)</f>
        <v>0.99501247919268232</v>
      </c>
    </row>
  </sheetData>
  <conditionalFormatting sqref="M2">
    <cfRule type="expression" dxfId="0" priority="1">
      <formula>OR(M2&lt;0, M2&gt;1)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Launch Pricing">
              <controlPr defaultSize="0" print="0" autoFill="0" autoPict="0" macro="[0]!Run_All" altText="Launch Pricing">
                <anchor moveWithCells="1" sizeWithCells="1">
                  <from>
                    <xdr:col>14</xdr:col>
                    <xdr:colOff>12700</xdr:colOff>
                    <xdr:row>0</xdr:row>
                    <xdr:rowOff>12700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DC3E7-3856-E448-B113-E16EC32E72EE}">
  <sheetPr codeName="Sheet7"/>
  <dimension ref="A1:K21"/>
  <sheetViews>
    <sheetView workbookViewId="0">
      <selection activeCell="G25" sqref="G25"/>
    </sheetView>
  </sheetViews>
  <sheetFormatPr baseColWidth="10" defaultRowHeight="16"/>
  <sheetData>
    <row r="1" spans="1:11">
      <c r="K1">
        <v>188.22267774802904</v>
      </c>
    </row>
    <row r="2" spans="1:11">
      <c r="J2">
        <v>176.68706347014523</v>
      </c>
    </row>
    <row r="3" spans="1:11">
      <c r="I3">
        <v>165.85843306030651</v>
      </c>
      <c r="K3">
        <v>165.85843306030654</v>
      </c>
    </row>
    <row r="4" spans="1:11">
      <c r="H4">
        <v>155.69345755677452</v>
      </c>
      <c r="J4">
        <v>155.69345755677452</v>
      </c>
    </row>
    <row r="5" spans="1:11">
      <c r="G5">
        <v>146.15146350242719</v>
      </c>
      <c r="I5">
        <v>146.15146350242716</v>
      </c>
      <c r="K5">
        <v>146.15146350242716</v>
      </c>
    </row>
    <row r="6" spans="1:11">
      <c r="F6">
        <v>137.19427019669189</v>
      </c>
      <c r="H6">
        <v>137.19427019669189</v>
      </c>
      <c r="J6">
        <v>137.19427019669186</v>
      </c>
    </row>
    <row r="7" spans="1:11">
      <c r="E7">
        <v>128.78603692182881</v>
      </c>
      <c r="G7">
        <v>128.78603692182878</v>
      </c>
      <c r="I7">
        <v>128.78603692182878</v>
      </c>
      <c r="K7">
        <v>128.78603692182878</v>
      </c>
    </row>
    <row r="8" spans="1:11">
      <c r="D8">
        <v>120.89311953226584</v>
      </c>
      <c r="F8">
        <v>120.89311953226584</v>
      </c>
      <c r="H8">
        <v>120.89311953226583</v>
      </c>
      <c r="J8">
        <v>120.89311953226583</v>
      </c>
    </row>
    <row r="9" spans="1:11">
      <c r="C9">
        <v>113.48393583315163</v>
      </c>
      <c r="E9">
        <v>113.48393583315163</v>
      </c>
      <c r="G9">
        <v>113.48393583315163</v>
      </c>
      <c r="I9">
        <v>113.48393583315162</v>
      </c>
      <c r="K9">
        <v>113.48393583315163</v>
      </c>
    </row>
    <row r="10" spans="1:11">
      <c r="B10">
        <v>106.52883920946086</v>
      </c>
      <c r="D10">
        <v>106.52883920946084</v>
      </c>
      <c r="F10">
        <v>106.52883920946083</v>
      </c>
      <c r="H10">
        <v>106.52883920946084</v>
      </c>
      <c r="J10">
        <v>106.52883920946083</v>
      </c>
    </row>
    <row r="11" spans="1:11">
      <c r="A11">
        <v>100</v>
      </c>
      <c r="C11">
        <v>100</v>
      </c>
      <c r="E11">
        <v>99.999999999999972</v>
      </c>
      <c r="G11">
        <v>99.999999999999972</v>
      </c>
      <c r="I11">
        <v>99.999999999999986</v>
      </c>
      <c r="K11">
        <v>99.999999999999972</v>
      </c>
    </row>
    <row r="12" spans="1:11">
      <c r="B12">
        <v>93.871294141651518</v>
      </c>
      <c r="D12">
        <v>93.871294141651504</v>
      </c>
      <c r="F12">
        <v>93.871294141651489</v>
      </c>
      <c r="H12">
        <v>93.871294141651504</v>
      </c>
      <c r="J12">
        <v>93.871294141651504</v>
      </c>
    </row>
    <row r="13" spans="1:11">
      <c r="C13">
        <v>88.118198638284582</v>
      </c>
      <c r="E13">
        <v>88.118198638284582</v>
      </c>
      <c r="G13">
        <v>88.118198638284568</v>
      </c>
      <c r="I13">
        <v>88.118198638284568</v>
      </c>
      <c r="K13">
        <v>88.118198638284568</v>
      </c>
    </row>
    <row r="14" spans="1:11">
      <c r="D14">
        <v>82.717693436068885</v>
      </c>
      <c r="F14">
        <v>82.717693436068885</v>
      </c>
      <c r="H14">
        <v>82.71769343606887</v>
      </c>
      <c r="J14">
        <v>82.717693436068856</v>
      </c>
    </row>
    <row r="15" spans="1:11">
      <c r="E15">
        <v>77.648169312561805</v>
      </c>
      <c r="G15">
        <v>77.648169312561791</v>
      </c>
      <c r="I15">
        <v>77.648169312561777</v>
      </c>
      <c r="K15">
        <v>77.648169312561777</v>
      </c>
    </row>
    <row r="16" spans="1:11">
      <c r="F16">
        <v>72.889341411002476</v>
      </c>
      <c r="H16">
        <v>72.889341411002462</v>
      </c>
      <c r="J16">
        <v>72.889341411002462</v>
      </c>
    </row>
    <row r="17" spans="7:11">
      <c r="G17">
        <v>68.422168073834726</v>
      </c>
      <c r="I17">
        <v>68.42216807383474</v>
      </c>
      <c r="K17">
        <v>68.422168073834712</v>
      </c>
    </row>
    <row r="18" spans="7:11">
      <c r="H18">
        <v>64.228774650684585</v>
      </c>
      <c r="J18">
        <v>64.228774650684571</v>
      </c>
    </row>
    <row r="19" spans="7:11">
      <c r="I19">
        <v>60.292381975922623</v>
      </c>
      <c r="K19">
        <v>60.29238197592263</v>
      </c>
    </row>
    <row r="20" spans="7:11">
      <c r="J20">
        <v>56.597239229626418</v>
      </c>
    </row>
    <row r="21" spans="7:11">
      <c r="K21">
        <v>53.128560913296795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2774-C504-2C46-8869-432CB78661C1}">
  <sheetPr codeName="Sheet3"/>
  <dimension ref="B2:D3"/>
  <sheetViews>
    <sheetView tabSelected="1" workbookViewId="0">
      <selection activeCell="C7" sqref="C7"/>
    </sheetView>
  </sheetViews>
  <sheetFormatPr baseColWidth="10" defaultRowHeight="16"/>
  <sheetData>
    <row r="2" spans="2:4">
      <c r="B2" s="1" t="s">
        <v>15</v>
      </c>
      <c r="C2" s="1"/>
      <c r="D2" s="1"/>
    </row>
    <row r="3" spans="2:4">
      <c r="C3">
        <v>10.25340904487193</v>
      </c>
    </row>
  </sheetData>
  <mergeCells count="1">
    <mergeCell ref="B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65D8C-9FB5-0748-8D78-9D65D3CC2E40}">
  <sheetPr codeName="Sheet4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Input</vt:lpstr>
      <vt:lpstr>Tree</vt:lpstr>
      <vt:lpstr>Output</vt:lpstr>
      <vt:lpstr>Convergence</vt:lpstr>
      <vt:lpstr>d</vt:lpstr>
      <vt:lpstr>DF</vt:lpstr>
      <vt:lpstr>dt</vt:lpstr>
      <vt:lpstr>K</vt:lpstr>
      <vt:lpstr>N</vt:lpstr>
      <vt:lpstr>p</vt:lpstr>
      <vt:lpstr>phi</vt:lpstr>
      <vt:lpstr>risk_free</vt:lpstr>
      <vt:lpstr>S</vt:lpstr>
      <vt:lpstr>sigma</vt:lpstr>
      <vt:lpstr>T</vt:lpstr>
      <vt:lpstr>type_option</vt:lpstr>
      <vt:lpstr>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TERRIER</dc:creator>
  <cp:lastModifiedBy>Christopher TERRIER</cp:lastModifiedBy>
  <dcterms:created xsi:type="dcterms:W3CDTF">2026-04-15T09:20:28Z</dcterms:created>
  <dcterms:modified xsi:type="dcterms:W3CDTF">2026-04-23T13:28:59Z</dcterms:modified>
</cp:coreProperties>
</file>